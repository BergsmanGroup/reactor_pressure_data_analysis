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Owner\Desktop\GitHub\reactor_pressure_data_analysis\"/>
    </mc:Choice>
  </mc:AlternateContent>
  <xr:revisionPtr revIDLastSave="0" documentId="13_ncr:1_{2C72221D-DEC7-4C6A-91A9-3FB078E9FC0B}" xr6:coauthVersionLast="47" xr6:coauthVersionMax="47" xr10:uidLastSave="{00000000-0000-0000-0000-000000000000}"/>
  <bookViews>
    <workbookView xWindow="-105" yWindow="0" windowWidth="26010" windowHeight="20985" xr2:uid="{539505D8-28CE-4AF5-B1B8-D9A0288D63DA}"/>
  </bookViews>
  <sheets>
    <sheet name="Recipe sheet (pag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1" l="1"/>
  <c r="M8" i="1" s="1"/>
</calcChain>
</file>

<file path=xl/sharedStrings.xml><?xml version="1.0" encoding="utf-8"?>
<sst xmlns="http://schemas.openxmlformats.org/spreadsheetml/2006/main" count="48" uniqueCount="45">
  <si>
    <t>Info</t>
  </si>
  <si>
    <t>Wait time</t>
  </si>
  <si>
    <t>EDR</t>
  </si>
  <si>
    <t>DID</t>
  </si>
  <si>
    <t>Valve/precursor</t>
  </si>
  <si>
    <t>Name</t>
  </si>
  <si>
    <t xml:space="preserve">Temperature (C) </t>
  </si>
  <si>
    <t>Cycles</t>
  </si>
  <si>
    <t>Valve</t>
  </si>
  <si>
    <t>PrePurge</t>
  </si>
  <si>
    <t>N2Dose</t>
  </si>
  <si>
    <t>PumpDose</t>
  </si>
  <si>
    <t>Dose</t>
  </si>
  <si>
    <t>Hold</t>
  </si>
  <si>
    <t>Purge</t>
  </si>
  <si>
    <t>Notes</t>
  </si>
  <si>
    <t>Chamber</t>
  </si>
  <si>
    <t>TDIC</t>
  </si>
  <si>
    <t>DAMDPA</t>
  </si>
  <si>
    <t>MeI</t>
  </si>
  <si>
    <t>Deposit an initial layer of TDIC &amp; DAMDPA. Precursors are heated</t>
  </si>
  <si>
    <t>nan</t>
  </si>
  <si>
    <t>LeakRate</t>
  </si>
  <si>
    <t>SiO2 layer</t>
  </si>
  <si>
    <t>Thickness # 2 vs. Time</t>
  </si>
  <si>
    <t>Time (min.)</t>
  </si>
  <si>
    <t>Thickness # 2</t>
  </si>
  <si>
    <t>Process (1)</t>
  </si>
  <si>
    <t>Username</t>
  </si>
  <si>
    <t>Jay</t>
  </si>
  <si>
    <t>GV</t>
  </si>
  <si>
    <t>Process time:</t>
  </si>
  <si>
    <t>s</t>
  </si>
  <si>
    <t>Start time</t>
  </si>
  <si>
    <t>End time</t>
  </si>
  <si>
    <t>Existing layer</t>
  </si>
  <si>
    <t>Thickness</t>
  </si>
  <si>
    <t>SiO2</t>
  </si>
  <si>
    <t>Reactor Companion App</t>
  </si>
  <si>
    <t>Recipe Sheet (PRE-RUN ONLY)</t>
  </si>
  <si>
    <t>1. Use **Recipe sheet workbook format.xlsx** as the starting template, save a copy, and do not insert, delete, or reorder columns or rows in the A–J recipe area.
2. Fill in the metadata rows above **Cycles**. Keep each zone’s **Valve/precursor**, **Name**, and **Temperature (C)** values in the same column; use `nan` only when a value is not applicable. Any valve used in the timing table must have a numeric valve number declared above.
3. In the timing table, enter a cycle count only on the first row of each sequence, enter a valve number on every row, and enter all timing values in seconds. Use `0` for unused timing phases; do not leave required values blank.</t>
  </si>
  <si>
    <t>1. Use this area to perform calculations such as time estimation, record notes mid run, and keep a log of changes made to the recipe mid run. This is also a good place to record iSE data while a GPC curve is being generated on the ISR, especially if multiple runs are used sequentially. 
2. If changes are made to the recipe mid run, you should wait until the end of the process to modify the header of the raw data file. 
3. In the gui, under reactor plots, select the raw data JSON, open Edit Header and then mannually make changes so that the header reflects the process as it was performed. It's important to note that doing this requires careful thought about how to accurately represent the correct header information. Its best to wait until after a complete cycle has completed before changing the recipe in order to avoid half-correct cycle recipes. After making the neccessary changes, make sure "Also save changes to the header text file" and press save. 
4. Alternatively, highlight the modifications and add a note to the modified rows to indicate the mid run modification before copying the correct recipe into rows A-J, then select "Regenerate header from recipe sheet" in the Edit Header menu. This will automatically load the header, with your corrections, into the menu for you to save and overwrite the incorrect header data in the raw data file(s)</t>
  </si>
  <si>
    <t>Calculations and mid run notes and changes to the recipe, as well as iSE data</t>
  </si>
  <si>
    <t>The rest of the worksheet / workbook can be used to record post run notes and data such as iSE data and analysis, exposure and leak rate information, cycle plots, etc.</t>
  </si>
  <si>
    <t>Post-run notes and data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</si>
</sst>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h:mm\ AM/PM"/>
    <numFmt numFmtId="165" formatCode="0.0"/>
    <numFmt numFmtId="166" formatCode="mm/dd/yy\ h:mm\ AM/PM"/>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36"/>
      <color theme="1"/>
      <name val="Aptos Narrow"/>
      <family val="2"/>
      <scheme val="minor"/>
    </font>
    <font>
      <b/>
      <sz val="1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10" xfId="0" applyBorder="1"/>
    <xf numFmtId="0" fontId="0" fillId="0" borderId="11" xfId="0" applyBorder="1"/>
    <xf numFmtId="0" fontId="0" fillId="0" borderId="0" xfId="0" applyBorder="1"/>
    <xf numFmtId="0" fontId="0" fillId="0" borderId="10" xfId="0" applyBorder="1" applyAlignment="1">
      <alignment vertical="top"/>
    </xf>
    <xf numFmtId="0" fontId="0" fillId="0" borderId="0" xfId="0" applyBorder="1" applyAlignment="1">
      <alignment vertical="top" wrapText="1"/>
    </xf>
    <xf numFmtId="0" fontId="0" fillId="0" borderId="10" xfId="0" applyBorder="1" applyAlignment="1">
      <alignment vertical="top" wrapText="1"/>
    </xf>
    <xf numFmtId="166" fontId="0" fillId="0" borderId="0" xfId="0" applyNumberFormat="1" applyBorder="1"/>
    <xf numFmtId="165" fontId="0" fillId="0" borderId="0" xfId="0" applyNumberFormat="1" applyBorder="1"/>
    <xf numFmtId="164" fontId="0" fillId="0" borderId="0" xfId="0" applyNumberFormat="1" applyBorder="1"/>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0" fillId="0" borderId="13" xfId="0" applyBorder="1" applyAlignment="1">
      <alignment horizontal="left" vertical="top" wrapText="1"/>
    </xf>
    <xf numFmtId="0" fontId="0" fillId="0" borderId="12" xfId="0" applyBorder="1" applyAlignment="1">
      <alignment horizontal="left" vertical="top" wrapText="1"/>
    </xf>
    <xf numFmtId="0" fontId="18" fillId="0" borderId="10" xfId="0" applyFont="1" applyBorder="1" applyAlignment="1">
      <alignment horizontal="center" vertical="center"/>
    </xf>
    <xf numFmtId="0" fontId="18" fillId="0" borderId="0" xfId="0" applyFont="1" applyBorder="1" applyAlignment="1">
      <alignment horizontal="center" vertical="center"/>
    </xf>
    <xf numFmtId="0" fontId="19" fillId="0" borderId="10" xfId="0" applyFont="1" applyBorder="1" applyAlignment="1">
      <alignment horizontal="center"/>
    </xf>
    <xf numFmtId="0" fontId="19" fillId="0" borderId="0" xfId="0" applyFont="1" applyBorder="1" applyAlignment="1">
      <alignment horizontal="center"/>
    </xf>
    <xf numFmtId="0" fontId="19" fillId="0" borderId="11" xfId="0" applyFont="1" applyBorder="1" applyAlignment="1">
      <alignment horizontal="center"/>
    </xf>
    <xf numFmtId="0" fontId="19"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AF080-381C-4412-8C71-8F493E8A8FF3}">
  <dimension ref="A1:AG26"/>
  <sheetViews>
    <sheetView tabSelected="1" zoomScale="70" zoomScaleNormal="70" workbookViewId="0">
      <selection activeCell="K3" sqref="K3:T3"/>
    </sheetView>
  </sheetViews>
  <sheetFormatPr defaultRowHeight="15" x14ac:dyDescent="0.25"/>
  <cols>
    <col min="1" max="1" width="18.5703125" style="1" bestFit="1" customWidth="1"/>
    <col min="2" max="2" width="9.140625" customWidth="1"/>
    <col min="10" max="10" width="9.140625" style="3"/>
    <col min="11" max="11" width="9.140625" style="1"/>
    <col min="12" max="12" width="16.7109375" style="3" bestFit="1" customWidth="1"/>
    <col min="13" max="13" width="17.85546875" style="3" bestFit="1" customWidth="1"/>
    <col min="14" max="14" width="10.28515625" style="3" customWidth="1"/>
    <col min="15" max="15" width="9.140625" style="3" customWidth="1"/>
    <col min="16" max="19" width="9.140625" style="3"/>
    <col min="20" max="20" width="9.140625" style="2"/>
  </cols>
  <sheetData>
    <row r="1" spans="1:33" ht="63.75" customHeight="1" x14ac:dyDescent="0.25">
      <c r="A1" s="15" t="s">
        <v>38</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row>
    <row r="2" spans="1:33" ht="45" customHeight="1" thickBot="1" x14ac:dyDescent="0.4">
      <c r="A2" s="17" t="s">
        <v>39</v>
      </c>
      <c r="B2" s="18"/>
      <c r="C2" s="18"/>
      <c r="D2" s="18"/>
      <c r="E2" s="18"/>
      <c r="F2" s="18"/>
      <c r="G2" s="18"/>
      <c r="H2" s="18"/>
      <c r="I2" s="18"/>
      <c r="J2" s="19"/>
      <c r="K2" s="17" t="s">
        <v>42</v>
      </c>
      <c r="L2" s="18"/>
      <c r="M2" s="18"/>
      <c r="N2" s="18"/>
      <c r="O2" s="18"/>
      <c r="P2" s="18"/>
      <c r="Q2" s="18"/>
      <c r="R2" s="18"/>
      <c r="S2" s="18"/>
      <c r="T2" s="19"/>
      <c r="U2" s="20" t="s">
        <v>44</v>
      </c>
      <c r="V2" s="20"/>
      <c r="W2" s="20"/>
      <c r="X2" s="20"/>
      <c r="Y2" s="20"/>
      <c r="Z2" s="20"/>
      <c r="AA2" s="20"/>
      <c r="AB2" s="20"/>
      <c r="AC2" s="20"/>
      <c r="AD2" s="20"/>
    </row>
    <row r="3" spans="1:33" ht="270" customHeight="1" thickBot="1" x14ac:dyDescent="0.3">
      <c r="A3" s="10" t="s">
        <v>40</v>
      </c>
      <c r="B3" s="11"/>
      <c r="C3" s="11"/>
      <c r="D3" s="11"/>
      <c r="E3" s="11"/>
      <c r="F3" s="11"/>
      <c r="G3" s="11"/>
      <c r="H3" s="11"/>
      <c r="I3" s="11"/>
      <c r="J3" s="12"/>
      <c r="K3" s="10" t="s">
        <v>41</v>
      </c>
      <c r="L3" s="11"/>
      <c r="M3" s="11"/>
      <c r="N3" s="11"/>
      <c r="O3" s="11"/>
      <c r="P3" s="11"/>
      <c r="Q3" s="11"/>
      <c r="R3" s="11"/>
      <c r="S3" s="11"/>
      <c r="T3" s="12"/>
      <c r="U3" s="14" t="s">
        <v>43</v>
      </c>
      <c r="V3" s="13"/>
      <c r="W3" s="13"/>
      <c r="X3" s="13"/>
      <c r="Y3" s="13"/>
      <c r="Z3" s="13"/>
      <c r="AA3" s="13"/>
      <c r="AB3" s="13"/>
      <c r="AC3" s="13"/>
      <c r="AD3" s="13"/>
      <c r="AE3" s="3"/>
    </row>
    <row r="4" spans="1:33" x14ac:dyDescent="0.25">
      <c r="A4" s="1" t="s">
        <v>28</v>
      </c>
      <c r="B4" t="s">
        <v>29</v>
      </c>
      <c r="K4" s="4"/>
    </row>
    <row r="5" spans="1:33" ht="15" customHeight="1" x14ac:dyDescent="0.25">
      <c r="A5" s="1" t="s">
        <v>0</v>
      </c>
      <c r="B5" t="s">
        <v>20</v>
      </c>
      <c r="L5" s="5"/>
      <c r="M5" s="5"/>
      <c r="N5" s="5"/>
      <c r="O5" s="5"/>
      <c r="P5" s="5"/>
      <c r="Q5" s="5"/>
      <c r="R5" s="5"/>
    </row>
    <row r="6" spans="1:33" x14ac:dyDescent="0.25">
      <c r="A6" s="1" t="s">
        <v>1</v>
      </c>
      <c r="B6">
        <v>0</v>
      </c>
      <c r="K6" s="6"/>
      <c r="L6" s="5" t="s">
        <v>31</v>
      </c>
      <c r="M6" s="3">
        <f>SUM(C15:I26)*A15</f>
        <v>61620</v>
      </c>
      <c r="N6" s="5" t="s">
        <v>32</v>
      </c>
      <c r="P6" s="3" t="s">
        <v>23</v>
      </c>
      <c r="Q6" s="3">
        <v>18.53</v>
      </c>
      <c r="R6" s="5"/>
    </row>
    <row r="7" spans="1:33" x14ac:dyDescent="0.25">
      <c r="A7" s="1" t="s">
        <v>2</v>
      </c>
      <c r="B7" t="b">
        <v>1</v>
      </c>
      <c r="K7" s="6"/>
      <c r="L7" s="5" t="s">
        <v>33</v>
      </c>
      <c r="M7" s="7">
        <v>46239</v>
      </c>
      <c r="N7" s="5"/>
      <c r="R7" s="5"/>
    </row>
    <row r="8" spans="1:33" x14ac:dyDescent="0.25">
      <c r="A8" s="1" t="s">
        <v>3</v>
      </c>
      <c r="B8">
        <v>137</v>
      </c>
      <c r="L8" s="3" t="s">
        <v>34</v>
      </c>
      <c r="M8" s="7">
        <f ca="1">NOW()+M6/3600/24</f>
        <v>46320.145308217587</v>
      </c>
      <c r="P8" s="3" t="s">
        <v>27</v>
      </c>
    </row>
    <row r="9" spans="1:33" x14ac:dyDescent="0.25">
      <c r="A9" s="1" t="s">
        <v>4</v>
      </c>
      <c r="B9" t="s">
        <v>21</v>
      </c>
      <c r="C9">
        <v>7</v>
      </c>
      <c r="D9">
        <v>5</v>
      </c>
      <c r="E9">
        <v>8</v>
      </c>
      <c r="F9">
        <v>6</v>
      </c>
      <c r="G9">
        <v>12</v>
      </c>
      <c r="L9" s="5" t="s">
        <v>35</v>
      </c>
      <c r="M9" s="3" t="s">
        <v>36</v>
      </c>
      <c r="P9" s="3" t="s">
        <v>24</v>
      </c>
    </row>
    <row r="10" spans="1:33" x14ac:dyDescent="0.25">
      <c r="A10" s="1" t="s">
        <v>5</v>
      </c>
      <c r="B10" t="s">
        <v>16</v>
      </c>
      <c r="C10" t="s">
        <v>30</v>
      </c>
      <c r="D10" t="s">
        <v>17</v>
      </c>
      <c r="E10" t="s">
        <v>18</v>
      </c>
      <c r="F10" t="s">
        <v>19</v>
      </c>
      <c r="G10" t="s">
        <v>22</v>
      </c>
      <c r="L10" s="5" t="s">
        <v>37</v>
      </c>
      <c r="M10" s="3">
        <v>18.53</v>
      </c>
      <c r="P10" s="3" t="s">
        <v>25</v>
      </c>
      <c r="Q10" s="3" t="s">
        <v>26</v>
      </c>
    </row>
    <row r="11" spans="1:33" x14ac:dyDescent="0.25">
      <c r="A11" s="1" t="s">
        <v>6</v>
      </c>
      <c r="B11">
        <v>100</v>
      </c>
      <c r="C11">
        <v>60</v>
      </c>
      <c r="D11">
        <v>50</v>
      </c>
      <c r="E11">
        <v>40</v>
      </c>
      <c r="F11">
        <v>25</v>
      </c>
      <c r="G11" t="s">
        <v>21</v>
      </c>
      <c r="L11" s="5" t="s">
        <v>27</v>
      </c>
      <c r="M11" s="3">
        <v>4.93</v>
      </c>
      <c r="P11" s="3">
        <v>2.3370920000000002</v>
      </c>
      <c r="Q11" s="3">
        <v>0.44405899999999998</v>
      </c>
    </row>
    <row r="12" spans="1:33" x14ac:dyDescent="0.25">
      <c r="M12" s="8"/>
      <c r="P12" s="3">
        <v>28.316841</v>
      </c>
      <c r="Q12" s="3">
        <v>4.9262079999999999</v>
      </c>
    </row>
    <row r="13" spans="1:33" x14ac:dyDescent="0.25">
      <c r="A13" s="1" t="s">
        <v>7</v>
      </c>
      <c r="B13" t="s">
        <v>8</v>
      </c>
      <c r="C13" t="s">
        <v>9</v>
      </c>
      <c r="D13" t="s">
        <v>10</v>
      </c>
      <c r="E13" t="s">
        <v>11</v>
      </c>
      <c r="F13" t="s">
        <v>12</v>
      </c>
      <c r="G13" t="s">
        <v>13</v>
      </c>
      <c r="H13" t="s">
        <v>9</v>
      </c>
      <c r="I13" t="s">
        <v>14</v>
      </c>
      <c r="J13" s="3" t="s">
        <v>15</v>
      </c>
      <c r="M13" s="9"/>
    </row>
    <row r="14" spans="1:33" x14ac:dyDescent="0.25">
      <c r="A14" s="1">
        <v>1</v>
      </c>
      <c r="B14">
        <v>7</v>
      </c>
      <c r="C14">
        <v>0</v>
      </c>
      <c r="D14">
        <v>15</v>
      </c>
      <c r="E14">
        <v>0</v>
      </c>
      <c r="F14">
        <v>0</v>
      </c>
      <c r="G14">
        <v>0</v>
      </c>
      <c r="H14">
        <v>0</v>
      </c>
      <c r="I14">
        <v>10</v>
      </c>
    </row>
    <row r="15" spans="1:33" x14ac:dyDescent="0.25">
      <c r="A15" s="1">
        <v>20</v>
      </c>
      <c r="B15">
        <v>5</v>
      </c>
      <c r="C15">
        <v>4</v>
      </c>
      <c r="D15">
        <v>0</v>
      </c>
      <c r="E15">
        <v>0</v>
      </c>
      <c r="F15">
        <v>60</v>
      </c>
      <c r="G15">
        <v>0</v>
      </c>
      <c r="H15">
        <v>0</v>
      </c>
      <c r="I15">
        <v>150</v>
      </c>
    </row>
    <row r="16" spans="1:33" x14ac:dyDescent="0.25">
      <c r="B16">
        <v>8</v>
      </c>
      <c r="C16">
        <v>4</v>
      </c>
      <c r="D16">
        <v>0</v>
      </c>
      <c r="E16">
        <v>0</v>
      </c>
      <c r="F16">
        <v>60</v>
      </c>
      <c r="G16">
        <v>0</v>
      </c>
      <c r="H16">
        <v>0</v>
      </c>
      <c r="I16">
        <v>150</v>
      </c>
    </row>
    <row r="17" spans="1:9" x14ac:dyDescent="0.25">
      <c r="B17">
        <v>12</v>
      </c>
      <c r="C17">
        <v>4</v>
      </c>
      <c r="D17">
        <v>0</v>
      </c>
      <c r="E17">
        <v>0</v>
      </c>
      <c r="F17">
        <v>0</v>
      </c>
      <c r="G17">
        <v>60</v>
      </c>
      <c r="H17">
        <v>0</v>
      </c>
      <c r="I17">
        <v>10</v>
      </c>
    </row>
    <row r="18" spans="1:9" x14ac:dyDescent="0.25">
      <c r="B18">
        <v>7</v>
      </c>
      <c r="C18">
        <v>0</v>
      </c>
      <c r="D18">
        <v>15</v>
      </c>
      <c r="E18">
        <v>0</v>
      </c>
      <c r="F18">
        <v>0</v>
      </c>
      <c r="G18">
        <v>0</v>
      </c>
      <c r="H18">
        <v>0</v>
      </c>
      <c r="I18">
        <v>10</v>
      </c>
    </row>
    <row r="19" spans="1:9" x14ac:dyDescent="0.25">
      <c r="A19" s="1">
        <v>20</v>
      </c>
      <c r="B19">
        <v>5</v>
      </c>
      <c r="C19">
        <v>4</v>
      </c>
      <c r="D19">
        <v>0</v>
      </c>
      <c r="E19">
        <v>0</v>
      </c>
      <c r="F19">
        <v>60</v>
      </c>
      <c r="G19">
        <v>300</v>
      </c>
      <c r="H19">
        <v>0</v>
      </c>
      <c r="I19">
        <v>150</v>
      </c>
    </row>
    <row r="20" spans="1:9" x14ac:dyDescent="0.25">
      <c r="B20">
        <v>8</v>
      </c>
      <c r="C20">
        <v>4</v>
      </c>
      <c r="D20">
        <v>0</v>
      </c>
      <c r="E20">
        <v>0</v>
      </c>
      <c r="F20">
        <v>60</v>
      </c>
      <c r="G20">
        <v>300</v>
      </c>
      <c r="H20">
        <v>0</v>
      </c>
      <c r="I20">
        <v>150</v>
      </c>
    </row>
    <row r="21" spans="1:9" x14ac:dyDescent="0.25">
      <c r="B21">
        <v>12</v>
      </c>
      <c r="C21">
        <v>4</v>
      </c>
      <c r="D21">
        <v>0</v>
      </c>
      <c r="E21">
        <v>0</v>
      </c>
      <c r="F21">
        <v>0</v>
      </c>
      <c r="G21">
        <v>60</v>
      </c>
      <c r="H21">
        <v>0</v>
      </c>
      <c r="I21">
        <v>10</v>
      </c>
    </row>
    <row r="22" spans="1:9" x14ac:dyDescent="0.25">
      <c r="B22">
        <v>7</v>
      </c>
      <c r="C22">
        <v>0</v>
      </c>
      <c r="D22">
        <v>15</v>
      </c>
      <c r="E22">
        <v>0</v>
      </c>
      <c r="F22">
        <v>0</v>
      </c>
      <c r="G22">
        <v>0</v>
      </c>
      <c r="H22">
        <v>0</v>
      </c>
      <c r="I22">
        <v>10</v>
      </c>
    </row>
    <row r="23" spans="1:9" x14ac:dyDescent="0.25">
      <c r="A23" s="1">
        <v>20</v>
      </c>
      <c r="B23">
        <v>5</v>
      </c>
      <c r="C23">
        <v>4</v>
      </c>
      <c r="D23">
        <v>0</v>
      </c>
      <c r="E23">
        <v>0</v>
      </c>
      <c r="F23">
        <v>60</v>
      </c>
      <c r="G23">
        <v>300</v>
      </c>
      <c r="H23">
        <v>0</v>
      </c>
      <c r="I23">
        <v>300</v>
      </c>
    </row>
    <row r="24" spans="1:9" x14ac:dyDescent="0.25">
      <c r="B24">
        <v>8</v>
      </c>
      <c r="C24">
        <v>4</v>
      </c>
      <c r="D24">
        <v>0</v>
      </c>
      <c r="E24">
        <v>0</v>
      </c>
      <c r="F24">
        <v>60</v>
      </c>
      <c r="G24">
        <v>300</v>
      </c>
      <c r="H24">
        <v>0</v>
      </c>
      <c r="I24">
        <v>300</v>
      </c>
    </row>
    <row r="25" spans="1:9" x14ac:dyDescent="0.25">
      <c r="B25">
        <v>12</v>
      </c>
      <c r="C25">
        <v>4</v>
      </c>
      <c r="D25">
        <v>0</v>
      </c>
      <c r="E25">
        <v>0</v>
      </c>
      <c r="F25">
        <v>0</v>
      </c>
      <c r="G25">
        <v>60</v>
      </c>
      <c r="H25">
        <v>0</v>
      </c>
      <c r="I25">
        <v>10</v>
      </c>
    </row>
    <row r="26" spans="1:9" x14ac:dyDescent="0.25">
      <c r="B26">
        <v>7</v>
      </c>
      <c r="C26">
        <v>0</v>
      </c>
      <c r="D26">
        <v>15</v>
      </c>
      <c r="E26">
        <v>0</v>
      </c>
      <c r="F26">
        <v>0</v>
      </c>
      <c r="G26">
        <v>0</v>
      </c>
      <c r="H26">
        <v>0</v>
      </c>
      <c r="I26">
        <v>10</v>
      </c>
    </row>
  </sheetData>
  <mergeCells count="7">
    <mergeCell ref="A1:AG1"/>
    <mergeCell ref="A2:J2"/>
    <mergeCell ref="K2:T2"/>
    <mergeCell ref="A3:J3"/>
    <mergeCell ref="K3:T3"/>
    <mergeCell ref="U2:AD2"/>
    <mergeCell ref="U3:AD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524c750-d52a-4243-9720-728bc70efb7c" xsi:nil="true"/>
    <lcf76f155ced4ddcb4097134ff3c332f xmlns="60d5a4fa-dfb8-4032-a39f-c398b36dd0e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58A5F568ED10E40B22155731D9FBF2A" ma:contentTypeVersion="10" ma:contentTypeDescription="Create a new document." ma:contentTypeScope="" ma:versionID="4d0e3cf096ece22b69ad0631913f9737">
  <xsd:schema xmlns:xsd="http://www.w3.org/2001/XMLSchema" xmlns:xs="http://www.w3.org/2001/XMLSchema" xmlns:p="http://schemas.microsoft.com/office/2006/metadata/properties" xmlns:ns2="60d5a4fa-dfb8-4032-a39f-c398b36dd0e4" xmlns:ns3="8524c750-d52a-4243-9720-728bc70efb7c" targetNamespace="http://schemas.microsoft.com/office/2006/metadata/properties" ma:root="true" ma:fieldsID="77d17406065d2f34dfa167ed779718a4" ns2:_="" ns3:_="">
    <xsd:import namespace="60d5a4fa-dfb8-4032-a39f-c398b36dd0e4"/>
    <xsd:import namespace="8524c750-d52a-4243-9720-728bc70efb7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d5a4fa-dfb8-4032-a39f-c398b36dd0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20148b9-20a4-48a0-acba-ba52d68a37a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524c750-d52a-4243-9720-728bc70efb7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2542ec2-c00a-4af7-95b1-462edd8f4181}" ma:internalName="TaxCatchAll" ma:showField="CatchAllData" ma:web="8524c750-d52a-4243-9720-728bc70efb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5801AB-C7A2-453F-BAA2-8972793E6FDA}">
  <ds:schemaRefs>
    <ds:schemaRef ds:uri="http://schemas.microsoft.com/office/2006/metadata/properties"/>
    <ds:schemaRef ds:uri="http://schemas.microsoft.com/office/infopath/2007/PartnerControls"/>
    <ds:schemaRef ds:uri="8524c750-d52a-4243-9720-728bc70efb7c"/>
    <ds:schemaRef ds:uri="60d5a4fa-dfb8-4032-a39f-c398b36dd0e4"/>
  </ds:schemaRefs>
</ds:datastoreItem>
</file>

<file path=customXml/itemProps2.xml><?xml version="1.0" encoding="utf-8"?>
<ds:datastoreItem xmlns:ds="http://schemas.openxmlformats.org/officeDocument/2006/customXml" ds:itemID="{6E4B112F-BBCA-4777-BDA8-B098500067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d5a4fa-dfb8-4032-a39f-c398b36dd0e4"/>
    <ds:schemaRef ds:uri="8524c750-d52a-4243-9720-728bc70efb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10FBDC9-D7DE-46DA-94AB-5E18B7FC2084}">
  <ds:schemaRefs>
    <ds:schemaRef ds:uri="http://schemas.microsoft.com/sharepoint/v3/contenttype/forms"/>
  </ds:schemaRefs>
</ds:datastoreItem>
</file>

<file path=docMetadata/LabelInfo.xml><?xml version="1.0" encoding="utf-8"?>
<clbl:labelList xmlns:clbl="http://schemas.microsoft.com/office/2020/mipLabelMetadata">
  <clbl:label id="{f6b6dd5b-f02f-441a-99a0-162ac5060bd2}" enabled="0" method="" siteId="{f6b6dd5b-f02f-441a-99a0-162ac5060bd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Recipe sheet (page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Bergsman Research Group</cp:lastModifiedBy>
  <dcterms:created xsi:type="dcterms:W3CDTF">2026-07-24T02:17:33Z</dcterms:created>
  <dcterms:modified xsi:type="dcterms:W3CDTF">2026-10-24T17:22:17Z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0x010100858A5F568ED10E40B22155731D9FBF2A</vt:lpwstr>
  </property>
  <property fmtid="{D5CDD505-2E9C-101B-9397-08002B2CF9AE}" pid="3" name="MediaServiceImageTags">
    <vt:lpwstr/>
  </property>
</Properties>
</file>