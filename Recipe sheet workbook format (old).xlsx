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esktop\GitHub\reactor_pressure_data_analysis\"/>
    </mc:Choice>
  </mc:AlternateContent>
  <xr:revisionPtr revIDLastSave="0" documentId="8_{2ADEDB44-5366-4D4C-A8E0-7737A0B950D1}" xr6:coauthVersionLast="47" xr6:coauthVersionMax="47" xr10:uidLastSave="{00000000-0000-0000-0000-000000000000}"/>
  <bookViews>
    <workbookView xWindow="-105" yWindow="0" windowWidth="26010" windowHeight="20985" xr2:uid="{539505D8-28CE-4AF5-B1B8-D9A0288D63DA}"/>
  </bookViews>
  <sheets>
    <sheet name="Recipe sheet (page 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5" i="1" s="1"/>
</calcChain>
</file>

<file path=xl/sharedStrings.xml><?xml version="1.0" encoding="utf-8"?>
<sst xmlns="http://schemas.openxmlformats.org/spreadsheetml/2006/main" count="42" uniqueCount="39">
  <si>
    <t>Info</t>
  </si>
  <si>
    <t>Wait time</t>
  </si>
  <si>
    <t>EDR</t>
  </si>
  <si>
    <t>DID</t>
  </si>
  <si>
    <t>Valve/precursor</t>
  </si>
  <si>
    <t>Name</t>
  </si>
  <si>
    <t xml:space="preserve">Temperature (C) </t>
  </si>
  <si>
    <t>Cycles</t>
  </si>
  <si>
    <t>Valve</t>
  </si>
  <si>
    <t>PrePurge</t>
  </si>
  <si>
    <t>N2Dose</t>
  </si>
  <si>
    <t>PumpDose</t>
  </si>
  <si>
    <t>Dose</t>
  </si>
  <si>
    <t>Hold</t>
  </si>
  <si>
    <t>Purge</t>
  </si>
  <si>
    <t>In order for this workbook to function as a recipe sheet, this worksheet must be the first sheet of the book and columns A:I must remain strictly dedicated to the recipe sheet information</t>
  </si>
  <si>
    <t>Notes</t>
  </si>
  <si>
    <t>Chamber</t>
  </si>
  <si>
    <t>TDIC</t>
  </si>
  <si>
    <t>DAMDPA</t>
  </si>
  <si>
    <t>MeI</t>
  </si>
  <si>
    <t>Deposit an initial layer of TDIC &amp; DAMDPA. Precursors are heated</t>
  </si>
  <si>
    <t>nan</t>
  </si>
  <si>
    <t>LeakRate</t>
  </si>
  <si>
    <t>SiO2 layer</t>
  </si>
  <si>
    <t>Thickness # 2 vs. Time</t>
  </si>
  <si>
    <t>Time (min.)</t>
  </si>
  <si>
    <t>Thickness # 2</t>
  </si>
  <si>
    <t>Process (1)</t>
  </si>
  <si>
    <t>Username</t>
  </si>
  <si>
    <t>Jay</t>
  </si>
  <si>
    <t>GV</t>
  </si>
  <si>
    <t>Process time:</t>
  </si>
  <si>
    <t>s</t>
  </si>
  <si>
    <t>Start time</t>
  </si>
  <si>
    <t>End time</t>
  </si>
  <si>
    <t>Existing layer</t>
  </si>
  <si>
    <t>Thickness</t>
  </si>
  <si>
    <t>SiO2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</si>
</sst>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\ h:mm\ AM/PM"/>
    <numFmt numFmtId="165" formatCode="0.0"/>
    <numFmt numFmtId="166" formatCode="mm/dd/yy\ h:mm\ AM/PM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10" xfId="0" applyBorder="1"/>
    <xf numFmtId="0" fontId="0" fillId="0" borderId="11" xfId="0" applyBorder="1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AF080-381C-4412-8C71-8F493E8A8FF3}">
  <dimension ref="A1:R23"/>
  <sheetViews>
    <sheetView tabSelected="1" workbookViewId="0">
      <selection activeCell="N20" sqref="N20"/>
    </sheetView>
  </sheetViews>
  <sheetFormatPr defaultRowHeight="15" x14ac:dyDescent="0.25"/>
  <cols>
    <col min="1" max="1" width="18.5703125" style="3" bestFit="1" customWidth="1"/>
    <col min="2" max="2" width="9.140625" customWidth="1"/>
    <col min="10" max="10" width="9.140625" style="4"/>
    <col min="12" max="12" width="16.7109375" bestFit="1" customWidth="1"/>
    <col min="13" max="13" width="17.85546875" bestFit="1" customWidth="1"/>
    <col min="14" max="14" width="10.28515625" customWidth="1"/>
    <col min="15" max="15" width="9.140625" customWidth="1"/>
  </cols>
  <sheetData>
    <row r="1" spans="1:18" x14ac:dyDescent="0.25">
      <c r="A1" s="3" t="s">
        <v>29</v>
      </c>
      <c r="B1" t="s">
        <v>30</v>
      </c>
      <c r="K1" s="6" t="s">
        <v>15</v>
      </c>
    </row>
    <row r="2" spans="1:18" ht="15" customHeight="1" x14ac:dyDescent="0.25">
      <c r="A2" s="3" t="s">
        <v>0</v>
      </c>
      <c r="B2" t="s">
        <v>21</v>
      </c>
      <c r="L2" s="5"/>
      <c r="M2" s="5"/>
      <c r="N2" s="5"/>
      <c r="O2" s="5"/>
      <c r="P2" s="5"/>
      <c r="Q2" s="5"/>
      <c r="R2" s="5"/>
    </row>
    <row r="3" spans="1:18" x14ac:dyDescent="0.25">
      <c r="A3" s="3" t="s">
        <v>1</v>
      </c>
      <c r="B3">
        <v>0</v>
      </c>
      <c r="K3" s="5"/>
      <c r="L3" s="5" t="s">
        <v>32</v>
      </c>
      <c r="M3">
        <f>SUM(C12:I23)*A12</f>
        <v>61620</v>
      </c>
      <c r="N3" s="5" t="s">
        <v>33</v>
      </c>
      <c r="P3" t="s">
        <v>24</v>
      </c>
      <c r="Q3">
        <v>18.53</v>
      </c>
      <c r="R3" s="5"/>
    </row>
    <row r="4" spans="1:18" x14ac:dyDescent="0.25">
      <c r="A4" s="3" t="s">
        <v>2</v>
      </c>
      <c r="B4" t="b">
        <v>1</v>
      </c>
      <c r="K4" s="5"/>
      <c r="L4" s="5" t="s">
        <v>34</v>
      </c>
      <c r="M4" s="7">
        <v>46239</v>
      </c>
      <c r="N4" s="5"/>
      <c r="R4" s="5"/>
    </row>
    <row r="5" spans="1:18" x14ac:dyDescent="0.25">
      <c r="A5" s="3" t="s">
        <v>3</v>
      </c>
      <c r="B5">
        <v>137</v>
      </c>
      <c r="L5" t="s">
        <v>35</v>
      </c>
      <c r="M5" s="7">
        <f ca="1">NOW()+M3/3600/24</f>
        <v>46320.120434722216</v>
      </c>
      <c r="P5" t="s">
        <v>28</v>
      </c>
    </row>
    <row r="6" spans="1:18" x14ac:dyDescent="0.25">
      <c r="A6" s="3" t="s">
        <v>4</v>
      </c>
      <c r="B6" t="s">
        <v>22</v>
      </c>
      <c r="C6">
        <v>7</v>
      </c>
      <c r="D6">
        <v>5</v>
      </c>
      <c r="E6">
        <v>8</v>
      </c>
      <c r="F6">
        <v>6</v>
      </c>
      <c r="G6">
        <v>12</v>
      </c>
      <c r="L6" s="5" t="s">
        <v>36</v>
      </c>
      <c r="M6" t="s">
        <v>37</v>
      </c>
      <c r="P6" t="s">
        <v>25</v>
      </c>
    </row>
    <row r="7" spans="1:18" x14ac:dyDescent="0.25">
      <c r="A7" s="3" t="s">
        <v>5</v>
      </c>
      <c r="B7" t="s">
        <v>17</v>
      </c>
      <c r="C7" t="s">
        <v>31</v>
      </c>
      <c r="D7" t="s">
        <v>18</v>
      </c>
      <c r="E7" t="s">
        <v>19</v>
      </c>
      <c r="F7" t="s">
        <v>20</v>
      </c>
      <c r="G7" t="s">
        <v>23</v>
      </c>
      <c r="L7" s="5" t="s">
        <v>38</v>
      </c>
      <c r="M7">
        <v>18.53</v>
      </c>
      <c r="P7" t="s">
        <v>26</v>
      </c>
      <c r="Q7" t="s">
        <v>27</v>
      </c>
    </row>
    <row r="8" spans="1:18" x14ac:dyDescent="0.25">
      <c r="A8" s="3" t="s">
        <v>6</v>
      </c>
      <c r="B8">
        <v>100</v>
      </c>
      <c r="C8">
        <v>60</v>
      </c>
      <c r="D8">
        <v>50</v>
      </c>
      <c r="E8">
        <v>40</v>
      </c>
      <c r="F8">
        <v>25</v>
      </c>
      <c r="G8" t="s">
        <v>22</v>
      </c>
      <c r="L8" s="5" t="s">
        <v>28</v>
      </c>
      <c r="M8">
        <v>4.93</v>
      </c>
      <c r="P8">
        <v>2.3370920000000002</v>
      </c>
      <c r="Q8">
        <v>0.44405899999999998</v>
      </c>
    </row>
    <row r="9" spans="1:18" x14ac:dyDescent="0.25">
      <c r="M9" s="2"/>
      <c r="P9">
        <v>28.316841</v>
      </c>
      <c r="Q9">
        <v>4.9262079999999999</v>
      </c>
    </row>
    <row r="10" spans="1:18" x14ac:dyDescent="0.25">
      <c r="A10" s="3" t="s">
        <v>7</v>
      </c>
      <c r="B10" t="s">
        <v>8</v>
      </c>
      <c r="C10" t="s">
        <v>9</v>
      </c>
      <c r="D10" t="s">
        <v>10</v>
      </c>
      <c r="E10" t="s">
        <v>11</v>
      </c>
      <c r="F10" t="s">
        <v>12</v>
      </c>
      <c r="G10" t="s">
        <v>13</v>
      </c>
      <c r="H10" t="s">
        <v>9</v>
      </c>
      <c r="I10" t="s">
        <v>14</v>
      </c>
      <c r="J10" s="4" t="s">
        <v>16</v>
      </c>
      <c r="M10" s="1"/>
    </row>
    <row r="11" spans="1:18" x14ac:dyDescent="0.25">
      <c r="A11" s="3">
        <v>1</v>
      </c>
      <c r="B11">
        <v>7</v>
      </c>
      <c r="C11">
        <v>0</v>
      </c>
      <c r="D11">
        <v>15</v>
      </c>
      <c r="E11">
        <v>0</v>
      </c>
      <c r="F11">
        <v>0</v>
      </c>
      <c r="G11">
        <v>0</v>
      </c>
      <c r="H11">
        <v>0</v>
      </c>
      <c r="I11">
        <v>10</v>
      </c>
    </row>
    <row r="12" spans="1:18" x14ac:dyDescent="0.25">
      <c r="A12" s="3">
        <v>20</v>
      </c>
      <c r="B12">
        <v>5</v>
      </c>
      <c r="C12">
        <v>4</v>
      </c>
      <c r="D12">
        <v>0</v>
      </c>
      <c r="E12">
        <v>0</v>
      </c>
      <c r="F12">
        <v>60</v>
      </c>
      <c r="G12">
        <v>0</v>
      </c>
      <c r="H12">
        <v>0</v>
      </c>
      <c r="I12">
        <v>150</v>
      </c>
    </row>
    <row r="13" spans="1:18" x14ac:dyDescent="0.25">
      <c r="B13">
        <v>8</v>
      </c>
      <c r="C13">
        <v>4</v>
      </c>
      <c r="D13">
        <v>0</v>
      </c>
      <c r="E13">
        <v>0</v>
      </c>
      <c r="F13">
        <v>60</v>
      </c>
      <c r="G13">
        <v>0</v>
      </c>
      <c r="H13">
        <v>0</v>
      </c>
      <c r="I13">
        <v>150</v>
      </c>
    </row>
    <row r="14" spans="1:18" x14ac:dyDescent="0.25">
      <c r="B14">
        <v>12</v>
      </c>
      <c r="C14">
        <v>4</v>
      </c>
      <c r="D14">
        <v>0</v>
      </c>
      <c r="E14">
        <v>0</v>
      </c>
      <c r="F14">
        <v>0</v>
      </c>
      <c r="G14">
        <v>60</v>
      </c>
      <c r="H14">
        <v>0</v>
      </c>
      <c r="I14">
        <v>10</v>
      </c>
    </row>
    <row r="15" spans="1:18" x14ac:dyDescent="0.25">
      <c r="B15">
        <v>7</v>
      </c>
      <c r="C15">
        <v>0</v>
      </c>
      <c r="D15">
        <v>15</v>
      </c>
      <c r="E15">
        <v>0</v>
      </c>
      <c r="F15">
        <v>0</v>
      </c>
      <c r="G15">
        <v>0</v>
      </c>
      <c r="H15">
        <v>0</v>
      </c>
      <c r="I15">
        <v>10</v>
      </c>
    </row>
    <row r="16" spans="1:18" x14ac:dyDescent="0.25">
      <c r="A16" s="3">
        <v>20</v>
      </c>
      <c r="B16">
        <v>5</v>
      </c>
      <c r="C16">
        <v>4</v>
      </c>
      <c r="D16">
        <v>0</v>
      </c>
      <c r="E16">
        <v>0</v>
      </c>
      <c r="F16">
        <v>60</v>
      </c>
      <c r="G16">
        <v>300</v>
      </c>
      <c r="H16">
        <v>0</v>
      </c>
      <c r="I16">
        <v>150</v>
      </c>
    </row>
    <row r="17" spans="1:9" x14ac:dyDescent="0.25">
      <c r="B17">
        <v>8</v>
      </c>
      <c r="C17">
        <v>4</v>
      </c>
      <c r="D17">
        <v>0</v>
      </c>
      <c r="E17">
        <v>0</v>
      </c>
      <c r="F17">
        <v>60</v>
      </c>
      <c r="G17">
        <v>300</v>
      </c>
      <c r="H17">
        <v>0</v>
      </c>
      <c r="I17">
        <v>150</v>
      </c>
    </row>
    <row r="18" spans="1:9" x14ac:dyDescent="0.25">
      <c r="B18">
        <v>12</v>
      </c>
      <c r="C18">
        <v>4</v>
      </c>
      <c r="D18">
        <v>0</v>
      </c>
      <c r="E18">
        <v>0</v>
      </c>
      <c r="F18">
        <v>0</v>
      </c>
      <c r="G18">
        <v>60</v>
      </c>
      <c r="H18">
        <v>0</v>
      </c>
      <c r="I18">
        <v>10</v>
      </c>
    </row>
    <row r="19" spans="1:9" x14ac:dyDescent="0.25">
      <c r="B19">
        <v>7</v>
      </c>
      <c r="C19">
        <v>0</v>
      </c>
      <c r="D19">
        <v>15</v>
      </c>
      <c r="E19">
        <v>0</v>
      </c>
      <c r="F19">
        <v>0</v>
      </c>
      <c r="G19">
        <v>0</v>
      </c>
      <c r="H19">
        <v>0</v>
      </c>
      <c r="I19">
        <v>10</v>
      </c>
    </row>
    <row r="20" spans="1:9" x14ac:dyDescent="0.25">
      <c r="A20" s="3">
        <v>20</v>
      </c>
      <c r="B20">
        <v>5</v>
      </c>
      <c r="C20">
        <v>4</v>
      </c>
      <c r="D20">
        <v>0</v>
      </c>
      <c r="E20">
        <v>0</v>
      </c>
      <c r="F20">
        <v>60</v>
      </c>
      <c r="G20">
        <v>300</v>
      </c>
      <c r="H20">
        <v>0</v>
      </c>
      <c r="I20">
        <v>300</v>
      </c>
    </row>
    <row r="21" spans="1:9" x14ac:dyDescent="0.25">
      <c r="B21">
        <v>8</v>
      </c>
      <c r="C21">
        <v>4</v>
      </c>
      <c r="D21">
        <v>0</v>
      </c>
      <c r="E21">
        <v>0</v>
      </c>
      <c r="F21">
        <v>60</v>
      </c>
      <c r="G21">
        <v>300</v>
      </c>
      <c r="H21">
        <v>0</v>
      </c>
      <c r="I21">
        <v>300</v>
      </c>
    </row>
    <row r="22" spans="1:9" x14ac:dyDescent="0.25">
      <c r="B22">
        <v>12</v>
      </c>
      <c r="C22">
        <v>4</v>
      </c>
      <c r="D22">
        <v>0</v>
      </c>
      <c r="E22">
        <v>0</v>
      </c>
      <c r="F22">
        <v>0</v>
      </c>
      <c r="G22">
        <v>60</v>
      </c>
      <c r="H22">
        <v>0</v>
      </c>
      <c r="I22">
        <v>10</v>
      </c>
    </row>
    <row r="23" spans="1:9" x14ac:dyDescent="0.25">
      <c r="B23">
        <v>7</v>
      </c>
      <c r="C23">
        <v>0</v>
      </c>
      <c r="D23">
        <v>15</v>
      </c>
      <c r="E23">
        <v>0</v>
      </c>
      <c r="F23">
        <v>0</v>
      </c>
      <c r="G23">
        <v>0</v>
      </c>
      <c r="H23">
        <v>0</v>
      </c>
      <c r="I23">
        <v>10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24c750-d52a-4243-9720-728bc70efb7c" xsi:nil="true"/>
    <lcf76f155ced4ddcb4097134ff3c332f xmlns="60d5a4fa-dfb8-4032-a39f-c398b36dd0e4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8A5F568ED10E40B22155731D9FBF2A" ma:contentTypeVersion="10" ma:contentTypeDescription="Create a new document." ma:contentTypeScope="" ma:versionID="4d0e3cf096ece22b69ad0631913f9737">
  <xsd:schema xmlns:xsd="http://www.w3.org/2001/XMLSchema" xmlns:xs="http://www.w3.org/2001/XMLSchema" xmlns:p="http://schemas.microsoft.com/office/2006/metadata/properties" xmlns:ns2="60d5a4fa-dfb8-4032-a39f-c398b36dd0e4" xmlns:ns3="8524c750-d52a-4243-9720-728bc70efb7c" targetNamespace="http://schemas.microsoft.com/office/2006/metadata/properties" ma:root="true" ma:fieldsID="77d17406065d2f34dfa167ed779718a4" ns2:_="" ns3:_="">
    <xsd:import namespace="60d5a4fa-dfb8-4032-a39f-c398b36dd0e4"/>
    <xsd:import namespace="8524c750-d52a-4243-9720-728bc70efb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d5a4fa-dfb8-4032-a39f-c398b36dd0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20148b9-20a4-48a0-acba-ba52d68a37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24c750-d52a-4243-9720-728bc70efb7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2542ec2-c00a-4af7-95b1-462edd8f4181}" ma:internalName="TaxCatchAll" ma:showField="CatchAllData" ma:web="8524c750-d52a-4243-9720-728bc70efb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10FBDC9-D7DE-46DA-94AB-5E18B7FC208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05801AB-C7A2-453F-BAA2-8972793E6FDA}">
  <ds:schemaRefs>
    <ds:schemaRef ds:uri="http://schemas.microsoft.com/office/2006/metadata/properties"/>
    <ds:schemaRef ds:uri="http://schemas.microsoft.com/office/infopath/2007/PartnerControls"/>
    <ds:schemaRef ds:uri="8524c750-d52a-4243-9720-728bc70efb7c"/>
    <ds:schemaRef ds:uri="60d5a4fa-dfb8-4032-a39f-c398b36dd0e4"/>
  </ds:schemaRefs>
</ds:datastoreItem>
</file>

<file path=customXml/itemProps3.xml><?xml version="1.0" encoding="utf-8"?>
<ds:datastoreItem xmlns:ds="http://schemas.openxmlformats.org/officeDocument/2006/customXml" ds:itemID="{6E4B112F-BBCA-4777-BDA8-B098500067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0d5a4fa-dfb8-4032-a39f-c398b36dd0e4"/>
    <ds:schemaRef ds:uri="8524c750-d52a-4243-9720-728bc70efb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f6b6dd5b-f02f-441a-99a0-162ac5060bd2}" enabled="0" method="" siteId="{f6b6dd5b-f02f-441a-99a0-162ac5060bd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Recipe sheet (page 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Bergsman Research Group</cp:lastModifiedBy>
  <dcterms:created xsi:type="dcterms:W3CDTF">2026-07-24T02:17:33Z</dcterms:created>
  <dcterms:modified xsi:type="dcterms:W3CDTF">2026-10-24T16:47:17Z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0x010100858A5F568ED10E40B22155731D9FBF2A</vt:lpwstr>
  </property>
  <property fmtid="{D5CDD505-2E9C-101B-9397-08002B2CF9AE}" pid="3" name="MediaServiceImageTags">
    <vt:lpwstr/>
  </property>
</Properties>
</file>